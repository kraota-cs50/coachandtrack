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iner Data" sheetId="2" state="visible" r:id="rId4"/>
    <sheet name="Payout History" sheetId="3" state="visible" r:id="rId5"/>
    <sheet name="Example 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<sst xmlns="http://schemas.openxmlformats.org/spreadsheetml/2006/main" count="128" uniqueCount="84">
  <si>
    <t xml:space="preserve">CoachAndTrack  —  Monthly Earnings Calculator</t>
  </si>
  <si>
    <t xml:space="preserve">Total Members</t>
  </si>
  <si>
    <t xml:space="preserve">Gross Revenue ($)</t>
  </si>
  <si>
    <t xml:space="preserve">Platform (30%)</t>
  </si>
  <si>
    <t xml:space="preserve">Trainer Pool (70%)</t>
  </si>
  <si>
    <t xml:space="preserve">Trainer Payout Summary — Current Month</t>
  </si>
  <si>
    <t xml:space="preserve">Trainer Name</t>
  </si>
  <si>
    <t xml:space="preserve">Specialty</t>
  </si>
  <si>
    <t xml:space="preserve">Members</t>
  </si>
  <si>
    <t xml:space="preserve">% of Pool</t>
  </si>
  <si>
    <t xml:space="preserve">Gross Payout ($)</t>
  </si>
  <si>
    <t xml:space="preserve">Status</t>
  </si>
  <si>
    <t xml:space="preserve">TOTAL</t>
  </si>
  <si>
    <t xml:space="preserve">⚠️  All figures are estimates. Stripe processing fees (~3%) are deducted before the revenue split. Verify totals before issuing payments.</t>
  </si>
  <si>
    <t xml:space="preserve">CoachAndTrack  —  Trainer Data &amp; Assumptions</t>
  </si>
  <si>
    <t xml:space="preserve">Platform Assumptions  (Blue = edit these cells)</t>
  </si>
  <si>
    <t xml:space="preserve">Pro Plan Monthly Price ($)</t>
  </si>
  <si>
    <t xml:space="preserve">Elite Plan Monthly Price ($)</t>
  </si>
  <si>
    <t xml:space="preserve">Revenue Share — Trainer (%)</t>
  </si>
  <si>
    <t xml:space="preserve">Revenue Share — Platform (%)</t>
  </si>
  <si>
    <t xml:space="preserve">Stripe Processing Fee (%)</t>
  </si>
  <si>
    <t xml:space="preserve">TOTALS (auto-calculated)</t>
  </si>
  <si>
    <t xml:space="preserve">Gross Revenue</t>
  </si>
  <si>
    <t xml:space="preserve">Net Revenue</t>
  </si>
  <si>
    <t xml:space="preserve">Platform Keeps</t>
  </si>
  <si>
    <t xml:space="preserve">Trainer Pool</t>
  </si>
  <si>
    <t xml:space="preserve">This Month</t>
  </si>
  <si>
    <t xml:space="preserve">Trainer Roster  —  Enter trainer details below</t>
  </si>
  <si>
    <t xml:space="preserve">Pro Members</t>
  </si>
  <si>
    <t xml:space="preserve">Elite Members</t>
  </si>
  <si>
    <t xml:space="preserve">Notes</t>
  </si>
  <si>
    <t xml:space="preserve">Marcus Rivera</t>
  </si>
  <si>
    <t xml:space="preserve">Strength &amp; Conditioning</t>
  </si>
  <si>
    <t xml:space="preserve">Sofia Chen</t>
  </si>
  <si>
    <t xml:space="preserve">Yoga &amp; Mobility</t>
  </si>
  <si>
    <t xml:space="preserve">James Okafor</t>
  </si>
  <si>
    <t xml:space="preserve">HIIT &amp; Cardio</t>
  </si>
  <si>
    <t xml:space="preserve">Priya Patel</t>
  </si>
  <si>
    <t xml:space="preserve">Nutrition &amp; Wellness</t>
  </si>
  <si>
    <t xml:space="preserve">Tyler Brooks</t>
  </si>
  <si>
    <t xml:space="preserve">Functional Fitness</t>
  </si>
  <si>
    <t xml:space="preserve">TOTALS</t>
  </si>
  <si>
    <t xml:space="preserve">Color Legend:</t>
  </si>
  <si>
    <t xml:space="preserve">Blue text / cells = Input values you enter manually</t>
  </si>
  <si>
    <t xml:space="preserve">Black text = Formulas (auto-calculated)</t>
  </si>
  <si>
    <t xml:space="preserve">Green cells = Payout results</t>
  </si>
  <si>
    <t xml:space="preserve">CoachAndTrack  —  Payout History Log</t>
  </si>
  <si>
    <t xml:space="preserve">Month</t>
  </si>
  <si>
    <t xml:space="preserve">Payment Date</t>
  </si>
  <si>
    <t xml:space="preserve">Payment Status</t>
  </si>
  <si>
    <t xml:space="preserve">March 2026</t>
  </si>
  <si>
    <t xml:space="preserve">Pending</t>
  </si>
  <si>
    <t xml:space="preserve">N/A</t>
  </si>
  <si>
    <t xml:space="preserve">📋  Each month, copy trainer payout results from the Trainer Data sheet into this log. Update Payment Date and Status after each payout is sent.</t>
  </si>
  <si>
    <t xml:space="preserve">CoachAndTrack  —  Earnings Scenarios &amp; Examples</t>
  </si>
  <si>
    <t xml:space="preserve">SCENARIO 1: Launch Month (3 Pro members, 6 trainers)</t>
  </si>
  <si>
    <t xml:space="preserve">$42.00</t>
  </si>
  <si>
    <t xml:space="preserve">Stripe Fees (3%)</t>
  </si>
  <si>
    <t xml:space="preserve">($1.26)</t>
  </si>
  <si>
    <t xml:space="preserve">$40.74</t>
  </si>
  <si>
    <t xml:space="preserve">Platform Keeps (30%)</t>
  </si>
  <si>
    <t xml:space="preserve">($12.22)</t>
  </si>
  <si>
    <t xml:space="preserve">$28.52</t>
  </si>
  <si>
    <t xml:space="preserve">Active Trainers</t>
  </si>
  <si>
    <t xml:space="preserve">3 of 6</t>
  </si>
  <si>
    <t xml:space="preserve">Avg Payout per Active Trainer</t>
  </si>
  <si>
    <t xml:space="preserve">$9.51</t>
  </si>
  <si>
    <t xml:space="preserve">SCENARIO 2: Growing (20 Pro + 5 Elite, 6 trainers)</t>
  </si>
  <si>
    <t xml:space="preserve">$425.00</t>
  </si>
  <si>
    <t xml:space="preserve">($12.75)</t>
  </si>
  <si>
    <t xml:space="preserve">$412.25</t>
  </si>
  <si>
    <t xml:space="preserve">($123.68)</t>
  </si>
  <si>
    <t xml:space="preserve">$288.58</t>
  </si>
  <si>
    <t xml:space="preserve">6 of 6</t>
  </si>
  <si>
    <t xml:space="preserve">$48.10</t>
  </si>
  <si>
    <t xml:space="preserve">SCENARIO 3: Established (100 Pro + 30 Elite, 10 trainers)</t>
  </si>
  <si>
    <t xml:space="preserve">$2,270.00</t>
  </si>
  <si>
    <t xml:space="preserve">($68.10)</t>
  </si>
  <si>
    <t xml:space="preserve">$2,201.90</t>
  </si>
  <si>
    <t xml:space="preserve">($660.57)</t>
  </si>
  <si>
    <t xml:space="preserve">$1,541.33</t>
  </si>
  <si>
    <t xml:space="preserve">10 of 10</t>
  </si>
  <si>
    <t xml:space="preserve">$154.13</t>
  </si>
  <si>
    <t xml:space="preserve">💡  Tip: To earn $1,000/month in the Trainer Pool, CoachAndTrack needs approximately 72 Pro members or 35 Elite members.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</si>
</sst>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$-409]#,##0.00;[RED]\-[$$-409]#,##0.00"/>
    <numFmt numFmtId="166" formatCode="\$#,##0.00"/>
    <numFmt numFmtId="167" formatCode="0%"/>
    <numFmt numFmtId="168" formatCode="0.0%;0.0%;\-"/>
    <numFmt numFmtId="169" formatCode="\$#,##0.00;&quot;($&quot;#,##0.00\);\-"/>
    <numFmt numFmtId="170" formatCode="0.0%"/>
    <numFmt numFmtId="171" formatCode="0"/>
    <numFmt numFmtId="172" formatCode="#,##0.0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22"/>
      <color rgb="FF1D4ED8"/>
      <name val="Arial"/>
      <family val="0"/>
      <charset val="1"/>
    </font>
    <font>
      <b val="true"/>
      <sz val="22"/>
      <color rgb="FF15803D"/>
      <name val="Arial"/>
      <family val="0"/>
      <charset val="1"/>
    </font>
    <font>
      <b val="true"/>
      <sz val="22"/>
      <color rgb="FFF97316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9"/>
      <color rgb="FF1D4ED8"/>
      <name val="Arial"/>
      <family val="0"/>
      <charset val="1"/>
    </font>
    <font>
      <i val="true"/>
      <sz val="9"/>
      <color rgb="FF15803D"/>
      <name val="Arial"/>
      <family val="0"/>
      <charset val="1"/>
    </font>
    <font>
      <i val="true"/>
      <sz val="9"/>
      <color rgb="FFF97316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i val="true"/>
      <sz val="9"/>
      <color rgb="FFF59E0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z val="9"/>
      <color rgb="FF1D4ED8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5803D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sz val="10"/>
      <color rgb="FF6B7280"/>
      <name val="Arial"/>
      <family val="0"/>
      <charset val="1"/>
    </font>
    <font>
      <sz val="10"/>
      <color rgb="FFF97316"/>
      <name val="Arial"/>
      <family val="0"/>
      <charset val="1"/>
    </font>
    <font>
      <b val="true"/>
      <sz val="10"/>
      <color rgb="FFF97316"/>
      <name val="Arial"/>
      <family val="0"/>
      <charset val="1"/>
    </font>
    <font>
      <sz val="10"/>
      <color rgb="FF15803D"/>
      <name val="Arial"/>
      <family val="0"/>
      <charset val="1"/>
    </font>
    <font>
      <sz val="10"/>
      <color rgb="FF1D4ED8"/>
      <name val="Arial"/>
      <family val="0"/>
      <charset val="1"/>
    </font>
    <font>
      <b val="true"/>
      <sz val="10"/>
      <color rgb="FF1D4ED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EFF6FF"/>
        <bgColor rgb="FFF3F4F6"/>
      </patternFill>
    </fill>
    <fill>
      <patternFill patternType="solid">
        <fgColor rgb="FFF0FDF4"/>
        <bgColor rgb="FFEFF6FF"/>
      </patternFill>
    </fill>
    <fill>
      <patternFill patternType="solid">
        <fgColor rgb="FFFFF7ED"/>
        <bgColor rgb="FFFFFBEB"/>
      </patternFill>
    </fill>
    <fill>
      <patternFill patternType="solid">
        <fgColor rgb="FFF97316"/>
        <bgColor rgb="FFF59E0B"/>
      </patternFill>
    </fill>
    <fill>
      <patternFill patternType="solid">
        <fgColor rgb="FFFFFFFF"/>
        <bgColor rgb="FFFFFBEB"/>
      </patternFill>
    </fill>
    <fill>
      <patternFill patternType="solid">
        <fgColor rgb="FFF3F4F6"/>
        <bgColor rgb="FFEFF6FF"/>
      </patternFill>
    </fill>
    <fill>
      <patternFill patternType="solid">
        <fgColor rgb="FFFFFBEB"/>
        <bgColor rgb="FFFFF7ED"/>
      </patternFill>
    </fill>
    <fill>
      <patternFill patternType="solid">
        <fgColor rgb="FF15803D"/>
        <bgColor rgb="FF008080"/>
      </patternFill>
    </fill>
    <fill>
      <patternFill patternType="solid">
        <fgColor rgb="FF1D4ED8"/>
        <bgColor rgb="FF3366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1E3A5F"/>
      </left>
      <right/>
      <top style="medium">
        <color rgb="FF1E3A5F"/>
      </top>
      <bottom/>
      <diagonal/>
    </border>
    <border diagonalUp="false" diagonalDown="false">
      <left style="medium">
        <color rgb="FF1E3A5F"/>
      </left>
      <right style="medium">
        <color rgb="FF1E3A5F"/>
      </right>
      <top style="medium">
        <color rgb="FF1E3A5F"/>
      </top>
      <bottom/>
      <diagonal/>
    </border>
    <border diagonalUp="false" diagonalDown="false">
      <left style="thin">
        <color rgb="FF3B5998"/>
      </left>
      <right style="thin">
        <color rgb="FF3B5998"/>
      </right>
      <top style="thin">
        <color rgb="FF3B5998"/>
      </top>
      <bottom style="thin">
        <color rgb="FF3B5998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F0FDF4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3F4F6"/>
      <rgbColor rgb="FFFFF7E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97316"/>
      <rgbColor rgb="FF6B7280"/>
      <rgbColor rgb="FF969696"/>
      <rgbColor rgb="FF1E3A5F"/>
      <rgbColor rgb="FF339966"/>
      <rgbColor rgb="FF003300"/>
      <rgbColor rgb="FF333300"/>
      <rgbColor rgb="FF993300"/>
      <rgbColor rgb="FF993366"/>
      <rgbColor rgb="FF3B5998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6"/>
    <col collapsed="false" customWidth="true" hidden="false" outlineLevel="0" max="8" min="8" style="0" width="3"/>
  </cols>
  <sheetData>
    <row r="1" customFormat="false" ht="7.5" hidden="false" customHeight="true" outlineLevel="0" collapsed="false"/>
    <row r="2" customFormat="false" ht="4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1.75" hidden="false" customHeight="true" outlineLevel="0" collapsed="false">
      <c r="B4" s="2" t="n">
        <f aca="false">IFERROR('Trainer Data'!D12+'Trainer Data'!E12,0)</f>
        <v>0</v>
      </c>
      <c r="C4" s="2"/>
      <c r="D4" s="3" t="n">
        <f aca="false">IFERROR('Trainer Data'!E12,0)</f>
        <v>0</v>
      </c>
      <c r="E4" s="3"/>
      <c r="F4" s="4" t="n">
        <f aca="false">IFERROR('Trainer Data'!G12,0)</f>
        <v>0</v>
      </c>
      <c r="G4" s="5" t="n">
        <f aca="false">IFERROR('Trainer Data'!H12,0)</f>
        <v>0</v>
      </c>
    </row>
    <row r="5" customFormat="false" ht="21.75" hidden="false" customHeight="true" outlineLevel="0" collapsed="false">
      <c r="B5" s="2"/>
      <c r="C5" s="2"/>
      <c r="D5" s="3"/>
      <c r="E5" s="3"/>
      <c r="F5" s="4"/>
      <c r="G5" s="4"/>
    </row>
    <row r="6" customFormat="false" ht="21.75" hidden="false" customHeight="true" outlineLevel="0" collapsed="false">
      <c r="B6" s="2"/>
      <c r="C6" s="2"/>
      <c r="D6" s="3"/>
      <c r="E6" s="3"/>
      <c r="F6" s="4"/>
      <c r="G6" s="4"/>
    </row>
    <row r="7" customFormat="false" ht="21.75" hidden="false" customHeight="true" outlineLevel="0" collapsed="false">
      <c r="B7" s="2"/>
      <c r="C7" s="2"/>
      <c r="D7" s="3"/>
      <c r="E7" s="3"/>
      <c r="F7" s="4"/>
      <c r="G7" s="4"/>
    </row>
    <row r="8" customFormat="false" ht="21.75" hidden="false" customHeight="true" outlineLevel="0" collapsed="false">
      <c r="B8" s="2"/>
      <c r="C8" s="2"/>
      <c r="D8" s="3"/>
      <c r="E8" s="3"/>
      <c r="F8" s="4"/>
      <c r="G8" s="4"/>
    </row>
    <row r="9" customFormat="false" ht="18" hidden="false" customHeight="true" outlineLevel="0" collapsed="false">
      <c r="B9" s="2"/>
      <c r="C9" s="2"/>
      <c r="D9" s="3"/>
      <c r="E9" s="3"/>
      <c r="F9" s="4"/>
      <c r="G9" s="4"/>
    </row>
    <row r="10" customFormat="false" ht="7.5" hidden="false" customHeight="true" outlineLevel="0" collapsed="false">
      <c r="B10" s="6" t="s">
        <v>1</v>
      </c>
      <c r="D10" s="7" t="s">
        <v>2</v>
      </c>
      <c r="F10" s="8" t="s">
        <v>3</v>
      </c>
      <c r="G10" s="9" t="s">
        <v>4</v>
      </c>
    </row>
    <row r="11" customFormat="false" ht="30" hidden="false" customHeight="true" outlineLevel="0" collapsed="false">
      <c r="B11" s="10" t="s">
        <v>5</v>
      </c>
      <c r="C11" s="10"/>
      <c r="D11" s="10"/>
      <c r="E11" s="10"/>
      <c r="F11" s="10"/>
      <c r="G11" s="10"/>
    </row>
    <row r="12" customFormat="false" ht="7.5" hidden="false" customHeight="true" outlineLevel="0" collapsed="false"/>
    <row r="13" customFormat="false" ht="31.5" hidden="false" customHeight="true" outlineLevel="0" collapsed="false">
      <c r="B13" s="11" t="s">
        <v>6</v>
      </c>
      <c r="C13" s="11" t="s">
        <v>7</v>
      </c>
      <c r="D13" s="11" t="s">
        <v>8</v>
      </c>
      <c r="E13" s="11" t="s">
        <v>9</v>
      </c>
      <c r="F13" s="11" t="s">
        <v>10</v>
      </c>
      <c r="G13" s="11" t="s">
        <v>11</v>
      </c>
    </row>
    <row r="14" customFormat="false" ht="19.5" hidden="false" customHeight="true" outlineLevel="0" collapsed="false">
      <c r="B14" s="12" t="str">
        <f aca="false">'Trainer Data'!B7</f>
        <v>Revenue Share — Trainer (%)</v>
      </c>
      <c r="C14" s="12" t="n">
        <f aca="false">'Trainer Data'!C7</f>
        <v>0</v>
      </c>
      <c r="D14" s="13" t="n">
        <f aca="false">IFERROR('Trainer Data'!D7,0)</f>
        <v>0.7</v>
      </c>
      <c r="E14" s="14" t="n">
        <f aca="false">IFERROR('Trainer Data'!E7,"-")</f>
        <v>0</v>
      </c>
      <c r="F14" s="15" t="n">
        <f aca="false">IFERROR('Trainer Data'!F7,0)</f>
        <v>0</v>
      </c>
      <c r="G14" s="16" t="str">
        <f aca="false">IFERROR(IF('Trainer Data'!D7&gt;0,"✅ Active","—"),"-")</f>
        <v>✅ Active</v>
      </c>
    </row>
    <row r="15" customFormat="false" ht="19.5" hidden="false" customHeight="true" outlineLevel="0" collapsed="false">
      <c r="B15" s="17" t="str">
        <f aca="false">'Trainer Data'!B8</f>
        <v>Revenue Share — Platform (%)</v>
      </c>
      <c r="C15" s="17" t="n">
        <f aca="false">'Trainer Data'!C8</f>
        <v>0</v>
      </c>
      <c r="D15" s="18" t="n">
        <f aca="false">IFERROR('Trainer Data'!D8,0)</f>
        <v>0.3</v>
      </c>
      <c r="E15" s="19" t="n">
        <f aca="false">IFERROR('Trainer Data'!E8,"-")</f>
        <v>0</v>
      </c>
      <c r="F15" s="20" t="n">
        <f aca="false">IFERROR('Trainer Data'!F8,0)</f>
        <v>0</v>
      </c>
      <c r="G15" s="21" t="str">
        <f aca="false">IFERROR(IF('Trainer Data'!D8&gt;0,"✅ Active","—"),"-")</f>
        <v>✅ Active</v>
      </c>
    </row>
    <row r="16" customFormat="false" ht="19.5" hidden="false" customHeight="true" outlineLevel="0" collapsed="false">
      <c r="B16" s="12" t="str">
        <f aca="false">'Trainer Data'!B9</f>
        <v>Stripe Processing Fee (%)</v>
      </c>
      <c r="C16" s="12" t="n">
        <f aca="false">'Trainer Data'!C9</f>
        <v>0</v>
      </c>
      <c r="D16" s="22" t="n">
        <f aca="false">IFERROR('Trainer Data'!D9,0)</f>
        <v>0.03</v>
      </c>
      <c r="E16" s="14" t="n">
        <f aca="false">IFERROR('Trainer Data'!E9,"-")</f>
        <v>0</v>
      </c>
      <c r="F16" s="15" t="n">
        <f aca="false">IFERROR('Trainer Data'!F9,0)</f>
        <v>0</v>
      </c>
      <c r="G16" s="16" t="str">
        <f aca="false">IFERROR(IF('Trainer Data'!D9&gt;0,"✅ Active","—"),"-")</f>
        <v>✅ Active</v>
      </c>
    </row>
    <row r="17" customFormat="false" ht="19.5" hidden="false" customHeight="true" outlineLevel="0" collapsed="false">
      <c r="B17" s="17" t="n">
        <f aca="false">'Trainer Data'!B10</f>
        <v>0</v>
      </c>
      <c r="C17" s="17" t="n">
        <f aca="false">'Trainer Data'!C10</f>
        <v>0</v>
      </c>
      <c r="D17" s="21" t="n">
        <f aca="false">IFERROR('Trainer Data'!D10,0)</f>
        <v>0</v>
      </c>
      <c r="E17" s="19" t="n">
        <f aca="false">IFERROR('Trainer Data'!E10,"-")</f>
        <v>0</v>
      </c>
      <c r="F17" s="20" t="n">
        <f aca="false">IFERROR('Trainer Data'!F10,0)</f>
        <v>0</v>
      </c>
      <c r="G17" s="21" t="str">
        <f aca="false">IFERROR(IF('Trainer Data'!D10&gt;0,"✅ Active","—"),"-")</f>
        <v>—</v>
      </c>
    </row>
    <row r="18" customFormat="false" ht="19.5" hidden="false" customHeight="true" outlineLevel="0" collapsed="false">
      <c r="B18" s="12" t="str">
        <f aca="false">'Trainer Data'!B11</f>
        <v>TOTALS (auto-calculated)</v>
      </c>
      <c r="C18" s="12" t="n">
        <f aca="false">'Trainer Data'!C11</f>
        <v>0</v>
      </c>
      <c r="D18" s="16" t="str">
        <f aca="false">IFERROR('Trainer Data'!D11,0)</f>
        <v>Total Members</v>
      </c>
      <c r="E18" s="14" t="str">
        <f aca="false">IFERROR('Trainer Data'!E11,"-")</f>
        <v>Gross Revenue</v>
      </c>
      <c r="F18" s="15" t="str">
        <f aca="false">IFERROR('Trainer Data'!F11,0)</f>
        <v>Net Revenue</v>
      </c>
      <c r="G18" s="16" t="str">
        <f aca="false">IFERROR(IF('Trainer Data'!D11&gt;0,"✅ Active","—"),"-")</f>
        <v>✅ Active</v>
      </c>
    </row>
    <row r="19" customFormat="false" ht="19.5" hidden="false" customHeight="true" outlineLevel="0" collapsed="false">
      <c r="B19" s="17" t="str">
        <f aca="false">'Trainer Data'!B12</f>
        <v>This Month</v>
      </c>
      <c r="C19" s="17" t="n">
        <f aca="false">'Trainer Data'!C12</f>
        <v>0</v>
      </c>
      <c r="D19" s="23" t="n">
        <f aca="false">IFERROR('Trainer Data'!D12,0)</f>
        <v>0</v>
      </c>
      <c r="E19" s="19" t="n">
        <f aca="false">IFERROR('Trainer Data'!E12,"-")</f>
        <v>0</v>
      </c>
      <c r="F19" s="20" t="n">
        <f aca="false">IFERROR('Trainer Data'!F12,0)</f>
        <v>0</v>
      </c>
      <c r="G19" s="21" t="str">
        <f aca="false">IFERROR(IF('Trainer Data'!D12&gt;0,"✅ Active","—"),"-")</f>
        <v>—</v>
      </c>
    </row>
    <row r="20" customFormat="false" ht="19.5" hidden="false" customHeight="true" outlineLevel="0" collapsed="false">
      <c r="B20" s="12" t="n">
        <f aca="false">'Trainer Data'!B13</f>
        <v>0</v>
      </c>
      <c r="C20" s="12" t="n">
        <f aca="false">'Trainer Data'!C13</f>
        <v>0</v>
      </c>
      <c r="D20" s="16" t="n">
        <f aca="false">IFERROR('Trainer Data'!D13,0)</f>
        <v>0</v>
      </c>
      <c r="E20" s="14" t="n">
        <f aca="false">IFERROR('Trainer Data'!E13,"-")</f>
        <v>0</v>
      </c>
      <c r="F20" s="15" t="n">
        <f aca="false">IFERROR('Trainer Data'!F13,0)</f>
        <v>0</v>
      </c>
      <c r="G20" s="16" t="str">
        <f aca="false">IFERROR(IF('Trainer Data'!D13&gt;0,"✅ Active","—"),"-")</f>
        <v>—</v>
      </c>
    </row>
    <row r="21" customFormat="false" ht="19.5" hidden="false" customHeight="true" outlineLevel="0" collapsed="false">
      <c r="B21" s="17" t="str">
        <f aca="false">'Trainer Data'!B14</f>
        <v>Trainer Roster  —  Enter trainer details below</v>
      </c>
      <c r="C21" s="17" t="n">
        <f aca="false">'Trainer Data'!C14</f>
        <v>0</v>
      </c>
      <c r="D21" s="21" t="n">
        <f aca="false">IFERROR('Trainer Data'!D14,0)</f>
        <v>0</v>
      </c>
      <c r="E21" s="19" t="n">
        <f aca="false">IFERROR('Trainer Data'!E14,"-")</f>
        <v>0</v>
      </c>
      <c r="F21" s="20" t="n">
        <f aca="false">IFERROR('Trainer Data'!F14,0)</f>
        <v>0</v>
      </c>
      <c r="G21" s="21" t="str">
        <f aca="false">IFERROR(IF('Trainer Data'!D14&gt;0,"✅ Active","—"),"-")</f>
        <v>—</v>
      </c>
    </row>
    <row r="22" customFormat="false" ht="19.5" hidden="false" customHeight="true" outlineLevel="0" collapsed="false">
      <c r="B22" s="12" t="str">
        <f aca="false">'Trainer Data'!B15</f>
        <v>Trainer Name</v>
      </c>
      <c r="C22" s="12" t="str">
        <f aca="false">'Trainer Data'!C15</f>
        <v>Specialty</v>
      </c>
      <c r="D22" s="16" t="str">
        <f aca="false">IFERROR('Trainer Data'!D15,0)</f>
        <v>Pro Members</v>
      </c>
      <c r="E22" s="14" t="str">
        <f aca="false">IFERROR('Trainer Data'!E15,"-")</f>
        <v>Elite Members</v>
      </c>
      <c r="F22" s="15" t="str">
        <f aca="false">IFERROR('Trainer Data'!F15,0)</f>
        <v>% of Pool</v>
      </c>
      <c r="G22" s="16" t="str">
        <f aca="false">IFERROR(IF('Trainer Data'!D15&gt;0,"✅ Active","—"),"-")</f>
        <v>✅ Active</v>
      </c>
    </row>
    <row r="23" customFormat="false" ht="19.5" hidden="false" customHeight="true" outlineLevel="0" collapsed="false">
      <c r="B23" s="17" t="str">
        <f aca="false">'Trainer Data'!B16</f>
        <v>Marcus Rivera</v>
      </c>
      <c r="C23" s="17" t="str">
        <f aca="false">'Trainer Data'!C16</f>
        <v>Strength &amp; Conditioning</v>
      </c>
      <c r="D23" s="23" t="n">
        <f aca="false">IFERROR('Trainer Data'!D16,0)</f>
        <v>0</v>
      </c>
      <c r="E23" s="19" t="n">
        <f aca="false">IFERROR('Trainer Data'!E16,"-")</f>
        <v>0</v>
      </c>
      <c r="F23" s="20" t="n">
        <f aca="false">IFERROR('Trainer Data'!F16,0)</f>
        <v>0</v>
      </c>
      <c r="G23" s="21" t="str">
        <f aca="false">IFERROR(IF('Trainer Data'!D16&gt;0,"✅ Active","—"),"-")</f>
        <v>—</v>
      </c>
    </row>
    <row r="24" customFormat="false" ht="21.75" hidden="false" customHeight="true" outlineLevel="0" collapsed="false">
      <c r="B24" s="24" t="s">
        <v>12</v>
      </c>
      <c r="C24" s="25"/>
      <c r="D24" s="25" t="n">
        <f aca="false">IFERROR(SUM(D14:D23),0)</f>
        <v>1.03</v>
      </c>
      <c r="E24" s="26" t="n">
        <f aca="false">IFERROR(SUM(E14:E23),0)</f>
        <v>0</v>
      </c>
      <c r="F24" s="27" t="n">
        <f aca="false">IFERROR(SUM(F14:F23),0)</f>
        <v>0</v>
      </c>
      <c r="G24" s="25"/>
    </row>
    <row r="25" customFormat="false" ht="15" hidden="false" customHeight="false" outlineLevel="0" collapsed="false">
      <c r="B25" s="28" t="s">
        <v>13</v>
      </c>
      <c r="C25" s="28"/>
      <c r="D25" s="28"/>
      <c r="E25" s="28"/>
      <c r="F25" s="28"/>
      <c r="G25" s="28"/>
    </row>
  </sheetData>
  <mergeCells count="7">
    <mergeCell ref="B2:G2"/>
    <mergeCell ref="B4:C9"/>
    <mergeCell ref="D4:E9"/>
    <mergeCell ref="F4:F9"/>
    <mergeCell ref="G4:G9"/>
    <mergeCell ref="B11:G11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3"/>
  </cols>
  <sheetData>
    <row r="1" customFormat="false" ht="7.5" hidden="false" customHeight="true" outlineLevel="0" collapsed="false"/>
    <row r="2" customFormat="false" ht="45" hidden="false" customHeight="true" outlineLevel="0" collapsed="false">
      <c r="B2" s="29" t="s">
        <v>14</v>
      </c>
      <c r="C2" s="29"/>
      <c r="D2" s="29"/>
      <c r="E2" s="29"/>
      <c r="F2" s="29"/>
      <c r="G2" s="29"/>
      <c r="H2" s="29"/>
    </row>
    <row r="3" customFormat="false" ht="7.5" hidden="false" customHeight="true" outlineLevel="0" collapsed="false"/>
    <row r="4" customFormat="false" ht="15" hidden="false" customHeight="false" outlineLevel="0" collapsed="false">
      <c r="B4" s="30" t="s">
        <v>15</v>
      </c>
      <c r="C4" s="30"/>
      <c r="D4" s="30"/>
      <c r="E4" s="30"/>
      <c r="F4" s="30"/>
      <c r="G4" s="30"/>
      <c r="H4" s="30"/>
    </row>
    <row r="5" customFormat="false" ht="19.5" hidden="false" customHeight="true" outlineLevel="0" collapsed="false">
      <c r="B5" s="17" t="s">
        <v>16</v>
      </c>
      <c r="C5" s="17"/>
      <c r="D5" s="31" t="n">
        <v>14</v>
      </c>
    </row>
    <row r="6" customFormat="false" ht="19.5" hidden="false" customHeight="true" outlineLevel="0" collapsed="false">
      <c r="B6" s="17" t="s">
        <v>17</v>
      </c>
      <c r="C6" s="17"/>
      <c r="D6" s="31" t="n">
        <v>29</v>
      </c>
    </row>
    <row r="7" customFormat="false" ht="19.5" hidden="false" customHeight="true" outlineLevel="0" collapsed="false">
      <c r="B7" s="17" t="s">
        <v>18</v>
      </c>
      <c r="C7" s="17"/>
      <c r="D7" s="32" t="n">
        <v>0.7</v>
      </c>
    </row>
    <row r="8" customFormat="false" ht="19.5" hidden="false" customHeight="true" outlineLevel="0" collapsed="false">
      <c r="B8" s="17" t="s">
        <v>19</v>
      </c>
      <c r="C8" s="17"/>
      <c r="D8" s="33" t="n">
        <f aca="false">1-D7</f>
        <v>0.3</v>
      </c>
    </row>
    <row r="9" customFormat="false" ht="19.5" hidden="false" customHeight="true" outlineLevel="0" collapsed="false">
      <c r="B9" s="17" t="s">
        <v>20</v>
      </c>
      <c r="C9" s="17"/>
      <c r="D9" s="34" t="n">
        <v>0.03</v>
      </c>
    </row>
    <row r="10" customFormat="false" ht="7.5" hidden="false" customHeight="true" outlineLevel="0" collapsed="false"/>
    <row r="11" customFormat="false" ht="27.75" hidden="false" customHeight="true" outlineLevel="0" collapsed="false">
      <c r="B11" s="35" t="s">
        <v>21</v>
      </c>
      <c r="C11" s="35"/>
      <c r="D11" s="36" t="s">
        <v>1</v>
      </c>
      <c r="E11" s="36" t="s">
        <v>22</v>
      </c>
      <c r="F11" s="36" t="s">
        <v>23</v>
      </c>
      <c r="G11" s="36" t="s">
        <v>24</v>
      </c>
      <c r="H11" s="36" t="s">
        <v>25</v>
      </c>
    </row>
    <row r="12" customFormat="false" ht="25.5" hidden="false" customHeight="true" outlineLevel="0" collapsed="false">
      <c r="B12" s="37" t="s">
        <v>26</v>
      </c>
      <c r="C12" s="37"/>
      <c r="D12" s="38" t="n">
        <f aca="false">IFERROR(SUM(D7:D16),0)</f>
        <v>0</v>
      </c>
      <c r="E12" s="39" t="n">
        <f aca="false">IFERROR(D12*D5,0)</f>
        <v>0</v>
      </c>
      <c r="F12" s="39" t="n">
        <f aca="false">IFERROR(E12*(1-D9),0)</f>
        <v>0</v>
      </c>
      <c r="G12" s="39" t="n">
        <f aca="false">IFERROR(F12*D8,0)</f>
        <v>0</v>
      </c>
      <c r="H12" s="39" t="n">
        <f aca="false">IFERROR(F12*D7,0)</f>
        <v>0</v>
      </c>
    </row>
    <row r="13" customFormat="false" ht="7.5" hidden="false" customHeight="true" outlineLevel="0" collapsed="false"/>
    <row r="14" customFormat="false" ht="27.75" hidden="false" customHeight="true" outlineLevel="0" collapsed="false">
      <c r="B14" s="30" t="s">
        <v>27</v>
      </c>
      <c r="C14" s="30"/>
      <c r="D14" s="30"/>
      <c r="E14" s="30"/>
      <c r="F14" s="30"/>
      <c r="G14" s="30"/>
      <c r="H14" s="30"/>
    </row>
    <row r="15" customFormat="false" ht="31.5" hidden="false" customHeight="true" outlineLevel="0" collapsed="false">
      <c r="B15" s="11" t="s">
        <v>6</v>
      </c>
      <c r="C15" s="11" t="s">
        <v>7</v>
      </c>
      <c r="D15" s="11" t="s">
        <v>28</v>
      </c>
      <c r="E15" s="11" t="s">
        <v>29</v>
      </c>
      <c r="F15" s="11" t="s">
        <v>9</v>
      </c>
      <c r="G15" s="11" t="s">
        <v>10</v>
      </c>
      <c r="H15" s="11" t="s">
        <v>30</v>
      </c>
    </row>
    <row r="16" customFormat="false" ht="21.75" hidden="false" customHeight="true" outlineLevel="0" collapsed="false">
      <c r="B16" s="40" t="s">
        <v>31</v>
      </c>
      <c r="C16" s="12" t="s">
        <v>32</v>
      </c>
      <c r="D16" s="41" t="n">
        <v>0</v>
      </c>
      <c r="E16" s="41" t="n">
        <v>0</v>
      </c>
      <c r="F16" s="42" t="n">
        <f aca="false">IFERROR((D16+E16)/(SUM($D$16:$D$25)+SUM($E$16:$E$25)),0)</f>
        <v>0</v>
      </c>
      <c r="G16" s="43" t="n">
        <f aca="false">IFERROR($H$12*F16,0)</f>
        <v>0</v>
      </c>
      <c r="H16" s="44"/>
    </row>
    <row r="17" customFormat="false" ht="21.75" hidden="false" customHeight="true" outlineLevel="0" collapsed="false">
      <c r="B17" s="45" t="s">
        <v>33</v>
      </c>
      <c r="C17" s="17" t="s">
        <v>34</v>
      </c>
      <c r="D17" s="41" t="n">
        <v>0</v>
      </c>
      <c r="E17" s="41" t="n">
        <v>0</v>
      </c>
      <c r="F17" s="46" t="n">
        <f aca="false">IFERROR((D17+E17)/(SUM($D$16:$D$25)+SUM($E$16:$E$25)),0)</f>
        <v>0</v>
      </c>
      <c r="G17" s="43" t="n">
        <f aca="false">IFERROR($H$12*F17,0)</f>
        <v>0</v>
      </c>
      <c r="H17" s="47"/>
    </row>
    <row r="18" customFormat="false" ht="21.75" hidden="false" customHeight="true" outlineLevel="0" collapsed="false">
      <c r="B18" s="40" t="s">
        <v>35</v>
      </c>
      <c r="C18" s="12" t="s">
        <v>36</v>
      </c>
      <c r="D18" s="41" t="n">
        <v>0</v>
      </c>
      <c r="E18" s="41" t="n">
        <v>0</v>
      </c>
      <c r="F18" s="42" t="n">
        <f aca="false">IFERROR((D18+E18)/(SUM($D$16:$D$25)+SUM($E$16:$E$25)),0)</f>
        <v>0</v>
      </c>
      <c r="G18" s="43" t="n">
        <f aca="false">IFERROR($H$12*F18,0)</f>
        <v>0</v>
      </c>
      <c r="H18" s="44"/>
    </row>
    <row r="19" customFormat="false" ht="21.75" hidden="false" customHeight="true" outlineLevel="0" collapsed="false">
      <c r="B19" s="45" t="s">
        <v>37</v>
      </c>
      <c r="C19" s="17" t="s">
        <v>38</v>
      </c>
      <c r="D19" s="41" t="n">
        <v>0</v>
      </c>
      <c r="E19" s="41" t="n">
        <v>0</v>
      </c>
      <c r="F19" s="46" t="n">
        <f aca="false">IFERROR((D19+E19)/(SUM($D$16:$D$25)+SUM($E$16:$E$25)),0)</f>
        <v>0</v>
      </c>
      <c r="G19" s="43" t="n">
        <f aca="false">IFERROR($H$12*F19,0)</f>
        <v>0</v>
      </c>
      <c r="H19" s="47"/>
    </row>
    <row r="20" customFormat="false" ht="21.75" hidden="false" customHeight="true" outlineLevel="0" collapsed="false">
      <c r="B20" s="40" t="s">
        <v>39</v>
      </c>
      <c r="C20" s="12" t="s">
        <v>40</v>
      </c>
      <c r="D20" s="41" t="n">
        <v>0</v>
      </c>
      <c r="E20" s="41" t="n">
        <v>0</v>
      </c>
      <c r="F20" s="42" t="n">
        <f aca="false">IFERROR((D20+E20)/(SUM($D$16:$D$25)+SUM($E$16:$E$25)),0)</f>
        <v>0</v>
      </c>
      <c r="G20" s="43" t="n">
        <f aca="false">IFERROR($H$12*F20,0)</f>
        <v>0</v>
      </c>
      <c r="H20" s="44"/>
    </row>
    <row r="21" customFormat="false" ht="21.75" hidden="false" customHeight="true" outlineLevel="0" collapsed="false">
      <c r="B21" s="17"/>
      <c r="C21" s="17"/>
      <c r="D21" s="41" t="n">
        <v>0</v>
      </c>
      <c r="E21" s="41" t="n">
        <v>0</v>
      </c>
      <c r="F21" s="46" t="n">
        <f aca="false">IFERROR((D21+E21)/(SUM($D$16:$D$25)+SUM($E$16:$E$25)),0)</f>
        <v>0</v>
      </c>
      <c r="G21" s="43" t="n">
        <f aca="false">IFERROR($H$12*F21,0)</f>
        <v>0</v>
      </c>
      <c r="H21" s="47"/>
    </row>
    <row r="22" customFormat="false" ht="21.75" hidden="false" customHeight="true" outlineLevel="0" collapsed="false">
      <c r="B22" s="12"/>
      <c r="C22" s="12"/>
      <c r="D22" s="41" t="n">
        <v>0</v>
      </c>
      <c r="E22" s="41" t="n">
        <v>0</v>
      </c>
      <c r="F22" s="42" t="n">
        <f aca="false">IFERROR((D22+E22)/(SUM($D$16:$D$25)+SUM($E$16:$E$25)),0)</f>
        <v>0</v>
      </c>
      <c r="G22" s="43" t="n">
        <f aca="false">IFERROR($H$12*F22,0)</f>
        <v>0</v>
      </c>
      <c r="H22" s="44"/>
    </row>
    <row r="23" customFormat="false" ht="21.75" hidden="false" customHeight="true" outlineLevel="0" collapsed="false">
      <c r="B23" s="17"/>
      <c r="C23" s="17"/>
      <c r="D23" s="41" t="n">
        <v>0</v>
      </c>
      <c r="E23" s="41" t="n">
        <v>0</v>
      </c>
      <c r="F23" s="46" t="n">
        <f aca="false">IFERROR((D23+E23)/(SUM($D$16:$D$25)+SUM($E$16:$E$25)),0)</f>
        <v>0</v>
      </c>
      <c r="G23" s="43" t="n">
        <f aca="false">IFERROR($H$12*F23,0)</f>
        <v>0</v>
      </c>
      <c r="H23" s="47"/>
    </row>
    <row r="24" customFormat="false" ht="21.75" hidden="false" customHeight="true" outlineLevel="0" collapsed="false">
      <c r="B24" s="12"/>
      <c r="C24" s="12"/>
      <c r="D24" s="41" t="n">
        <v>0</v>
      </c>
      <c r="E24" s="41" t="n">
        <v>0</v>
      </c>
      <c r="F24" s="42" t="n">
        <f aca="false">IFERROR((D24+E24)/(SUM($D$16:$D$25)+SUM($E$16:$E$25)),0)</f>
        <v>0</v>
      </c>
      <c r="G24" s="43" t="n">
        <f aca="false">IFERROR($H$12*F24,0)</f>
        <v>0</v>
      </c>
      <c r="H24" s="44"/>
    </row>
    <row r="25" customFormat="false" ht="21.75" hidden="false" customHeight="true" outlineLevel="0" collapsed="false">
      <c r="B25" s="17"/>
      <c r="C25" s="17"/>
      <c r="D25" s="41" t="n">
        <v>0</v>
      </c>
      <c r="E25" s="41" t="n">
        <v>0</v>
      </c>
      <c r="F25" s="46" t="n">
        <f aca="false">IFERROR((D25+E25)/(SUM($D$16:$D$25)+SUM($E$16:$E$25)),0)</f>
        <v>0</v>
      </c>
      <c r="G25" s="43" t="n">
        <f aca="false">IFERROR($H$12*F25,0)</f>
        <v>0</v>
      </c>
      <c r="H25" s="47"/>
    </row>
    <row r="26" customFormat="false" ht="24" hidden="false" customHeight="true" outlineLevel="0" collapsed="false">
      <c r="B26" s="24" t="s">
        <v>41</v>
      </c>
      <c r="C26" s="25"/>
      <c r="D26" s="48" t="n">
        <f aca="false">SUM(D16:D25)</f>
        <v>0</v>
      </c>
      <c r="E26" s="48" t="n">
        <f aca="false">SUM(E16:E25)</f>
        <v>0</v>
      </c>
      <c r="F26" s="26" t="n">
        <f aca="false">SUM(F16:F25)</f>
        <v>0</v>
      </c>
      <c r="G26" s="27" t="n">
        <f aca="false">SUM(G16:G25)</f>
        <v>0</v>
      </c>
      <c r="H26" s="25"/>
    </row>
    <row r="28" customFormat="false" ht="19.5" hidden="false" customHeight="true" outlineLevel="0" collapsed="false">
      <c r="B28" s="49" t="s">
        <v>42</v>
      </c>
      <c r="C28" s="49"/>
      <c r="D28" s="49"/>
      <c r="E28" s="49"/>
      <c r="F28" s="49"/>
      <c r="G28" s="49"/>
      <c r="H28" s="49"/>
    </row>
    <row r="29" customFormat="false" ht="18" hidden="false" customHeight="true" outlineLevel="0" collapsed="false">
      <c r="B29" s="50" t="s">
        <v>43</v>
      </c>
      <c r="E29" s="51" t="s">
        <v>44</v>
      </c>
      <c r="G29" s="52" t="s">
        <v>45</v>
      </c>
    </row>
  </sheetData>
  <mergeCells count="11">
    <mergeCell ref="B2:H2"/>
    <mergeCell ref="B4:H4"/>
    <mergeCell ref="B5:C5"/>
    <mergeCell ref="B6:C6"/>
    <mergeCell ref="B7:C7"/>
    <mergeCell ref="B8:C8"/>
    <mergeCell ref="B9:C9"/>
    <mergeCell ref="B11:C11"/>
    <mergeCell ref="B12:C12"/>
    <mergeCell ref="B14:H14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8" min="7" style="0" width="18"/>
    <col collapsed="false" customWidth="true" hidden="false" outlineLevel="0" max="9" min="9" style="0" width="3"/>
  </cols>
  <sheetData>
    <row r="2" customFormat="false" ht="45" hidden="false" customHeight="true" outlineLevel="0" collapsed="false">
      <c r="B2" s="29" t="s">
        <v>46</v>
      </c>
      <c r="C2" s="29"/>
      <c r="D2" s="29"/>
      <c r="E2" s="29"/>
      <c r="F2" s="29"/>
      <c r="G2" s="29"/>
      <c r="H2" s="29"/>
    </row>
    <row r="4" customFormat="false" ht="31.5" hidden="false" customHeight="true" outlineLevel="0" collapsed="false">
      <c r="B4" s="11" t="s">
        <v>47</v>
      </c>
      <c r="C4" s="11" t="s">
        <v>6</v>
      </c>
      <c r="D4" s="11" t="s">
        <v>8</v>
      </c>
      <c r="E4" s="11" t="s">
        <v>9</v>
      </c>
      <c r="F4" s="11" t="s">
        <v>10</v>
      </c>
      <c r="G4" s="11" t="s">
        <v>48</v>
      </c>
      <c r="H4" s="11" t="s">
        <v>49</v>
      </c>
    </row>
    <row r="5" customFormat="false" ht="21.75" hidden="false" customHeight="true" outlineLevel="0" collapsed="false">
      <c r="B5" s="12" t="s">
        <v>50</v>
      </c>
      <c r="C5" s="12" t="s">
        <v>31</v>
      </c>
      <c r="D5" s="16" t="n">
        <v>1</v>
      </c>
      <c r="E5" s="22" t="n">
        <v>0.2</v>
      </c>
      <c r="F5" s="53" t="n">
        <v>0</v>
      </c>
      <c r="G5" s="16"/>
      <c r="H5" s="54" t="s">
        <v>51</v>
      </c>
    </row>
    <row r="6" customFormat="false" ht="21.75" hidden="false" customHeight="true" outlineLevel="0" collapsed="false">
      <c r="B6" s="17" t="s">
        <v>50</v>
      </c>
      <c r="C6" s="17" t="s">
        <v>33</v>
      </c>
      <c r="D6" s="21" t="n">
        <v>1</v>
      </c>
      <c r="E6" s="55" t="n">
        <v>0.2</v>
      </c>
      <c r="F6" s="56" t="n">
        <v>0</v>
      </c>
      <c r="G6" s="21"/>
      <c r="H6" s="54" t="s">
        <v>51</v>
      </c>
    </row>
    <row r="7" customFormat="false" ht="21.75" hidden="false" customHeight="true" outlineLevel="0" collapsed="false">
      <c r="B7" s="12" t="s">
        <v>50</v>
      </c>
      <c r="C7" s="12" t="s">
        <v>35</v>
      </c>
      <c r="D7" s="16" t="n">
        <v>1</v>
      </c>
      <c r="E7" s="22" t="n">
        <v>0.2</v>
      </c>
      <c r="F7" s="53" t="n">
        <v>0</v>
      </c>
      <c r="G7" s="16"/>
      <c r="H7" s="54" t="s">
        <v>51</v>
      </c>
    </row>
    <row r="8" customFormat="false" ht="21.75" hidden="false" customHeight="true" outlineLevel="0" collapsed="false">
      <c r="B8" s="17" t="s">
        <v>50</v>
      </c>
      <c r="C8" s="17" t="s">
        <v>37</v>
      </c>
      <c r="D8" s="21" t="n">
        <v>0</v>
      </c>
      <c r="E8" s="55" t="n">
        <v>0</v>
      </c>
      <c r="F8" s="56" t="n">
        <v>0</v>
      </c>
      <c r="G8" s="21"/>
      <c r="H8" s="57" t="s">
        <v>52</v>
      </c>
    </row>
    <row r="9" customFormat="false" ht="21.75" hidden="false" customHeight="true" outlineLevel="0" collapsed="false">
      <c r="B9" s="12" t="s">
        <v>50</v>
      </c>
      <c r="C9" s="12" t="s">
        <v>39</v>
      </c>
      <c r="D9" s="16" t="n">
        <v>0</v>
      </c>
      <c r="E9" s="22" t="n">
        <v>0</v>
      </c>
      <c r="F9" s="53" t="n">
        <v>0</v>
      </c>
      <c r="G9" s="16"/>
      <c r="H9" s="57" t="s">
        <v>52</v>
      </c>
    </row>
    <row r="11" customFormat="false" ht="15" hidden="false" customHeight="false" outlineLevel="0" collapsed="false">
      <c r="B11" s="58" t="s">
        <v>53</v>
      </c>
      <c r="C11" s="58"/>
      <c r="D11" s="58"/>
      <c r="E11" s="58"/>
      <c r="F11" s="58"/>
      <c r="G11" s="58"/>
      <c r="H11" s="58"/>
    </row>
  </sheetData>
  <mergeCells count="2">
    <mergeCell ref="B2:H2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45" hidden="false" customHeight="true" outlineLevel="0" collapsed="false">
      <c r="B2" s="29" t="s">
        <v>54</v>
      </c>
      <c r="C2" s="29"/>
      <c r="D2" s="29"/>
      <c r="E2" s="29"/>
      <c r="F2" s="29"/>
      <c r="G2" s="29"/>
    </row>
    <row r="4" customFormat="false" ht="27.75" hidden="false" customHeight="true" outlineLevel="0" collapsed="false">
      <c r="B4" s="30" t="s">
        <v>55</v>
      </c>
      <c r="C4" s="30"/>
      <c r="D4" s="30"/>
      <c r="E4" s="30"/>
      <c r="F4" s="30"/>
      <c r="G4" s="30"/>
    </row>
    <row r="5" customFormat="false" ht="19.5" hidden="false" customHeight="true" outlineLevel="0" collapsed="false">
      <c r="B5" s="59" t="s">
        <v>28</v>
      </c>
      <c r="C5" s="59"/>
      <c r="D5" s="59"/>
      <c r="E5" s="60" t="n">
        <v>3</v>
      </c>
      <c r="F5" s="60"/>
      <c r="G5" s="60"/>
    </row>
    <row r="6" customFormat="false" ht="19.5" hidden="false" customHeight="true" outlineLevel="0" collapsed="false">
      <c r="B6" s="59" t="s">
        <v>29</v>
      </c>
      <c r="C6" s="59"/>
      <c r="D6" s="59"/>
      <c r="E6" s="60" t="n">
        <v>0</v>
      </c>
      <c r="F6" s="60"/>
      <c r="G6" s="60"/>
    </row>
    <row r="7" customFormat="false" ht="19.5" hidden="false" customHeight="true" outlineLevel="0" collapsed="false">
      <c r="B7" s="59" t="s">
        <v>22</v>
      </c>
      <c r="C7" s="59"/>
      <c r="D7" s="59"/>
      <c r="E7" s="60" t="s">
        <v>56</v>
      </c>
      <c r="F7" s="60"/>
      <c r="G7" s="60"/>
    </row>
    <row r="8" customFormat="false" ht="19.5" hidden="false" customHeight="true" outlineLevel="0" collapsed="false">
      <c r="B8" s="59" t="s">
        <v>57</v>
      </c>
      <c r="C8" s="59"/>
      <c r="D8" s="59"/>
      <c r="E8" s="60" t="s">
        <v>58</v>
      </c>
      <c r="F8" s="60"/>
      <c r="G8" s="60"/>
    </row>
    <row r="9" customFormat="false" ht="19.5" hidden="false" customHeight="true" outlineLevel="0" collapsed="false">
      <c r="B9" s="59" t="s">
        <v>23</v>
      </c>
      <c r="C9" s="59"/>
      <c r="D9" s="59"/>
      <c r="E9" s="60" t="s">
        <v>59</v>
      </c>
      <c r="F9" s="60"/>
      <c r="G9" s="60"/>
    </row>
    <row r="10" customFormat="false" ht="19.5" hidden="false" customHeight="true" outlineLevel="0" collapsed="false">
      <c r="B10" s="59" t="s">
        <v>60</v>
      </c>
      <c r="C10" s="59"/>
      <c r="D10" s="59"/>
      <c r="E10" s="60" t="s">
        <v>61</v>
      </c>
      <c r="F10" s="60"/>
      <c r="G10" s="60"/>
    </row>
    <row r="11" customFormat="false" ht="19.5" hidden="false" customHeight="true" outlineLevel="0" collapsed="false">
      <c r="B11" s="59" t="s">
        <v>4</v>
      </c>
      <c r="C11" s="59"/>
      <c r="D11" s="59"/>
      <c r="E11" s="61" t="s">
        <v>62</v>
      </c>
      <c r="F11" s="61"/>
      <c r="G11" s="61"/>
    </row>
    <row r="12" customFormat="false" ht="19.5" hidden="false" customHeight="true" outlineLevel="0" collapsed="false">
      <c r="B12" s="59" t="s">
        <v>63</v>
      </c>
      <c r="C12" s="59"/>
      <c r="D12" s="59"/>
      <c r="E12" s="60" t="s">
        <v>64</v>
      </c>
      <c r="F12" s="60"/>
      <c r="G12" s="60"/>
    </row>
    <row r="13" customFormat="false" ht="19.5" hidden="false" customHeight="true" outlineLevel="0" collapsed="false">
      <c r="B13" s="59" t="s">
        <v>65</v>
      </c>
      <c r="C13" s="59"/>
      <c r="D13" s="59"/>
      <c r="E13" s="61" t="s">
        <v>66</v>
      </c>
      <c r="F13" s="61"/>
      <c r="G13" s="61"/>
    </row>
    <row r="16" customFormat="false" ht="27.75" hidden="false" customHeight="true" outlineLevel="0" collapsed="false">
      <c r="B16" s="62" t="s">
        <v>67</v>
      </c>
      <c r="C16" s="62"/>
      <c r="D16" s="62"/>
      <c r="E16" s="62"/>
      <c r="F16" s="62"/>
      <c r="G16" s="62"/>
    </row>
    <row r="17" customFormat="false" ht="19.5" hidden="false" customHeight="true" outlineLevel="0" collapsed="false">
      <c r="B17" s="63" t="s">
        <v>28</v>
      </c>
      <c r="C17" s="63"/>
      <c r="D17" s="63"/>
      <c r="E17" s="64" t="n">
        <v>20</v>
      </c>
      <c r="F17" s="64"/>
      <c r="G17" s="64"/>
    </row>
    <row r="18" customFormat="false" ht="19.5" hidden="false" customHeight="true" outlineLevel="0" collapsed="false">
      <c r="B18" s="63" t="s">
        <v>29</v>
      </c>
      <c r="C18" s="63"/>
      <c r="D18" s="63"/>
      <c r="E18" s="64" t="n">
        <v>5</v>
      </c>
      <c r="F18" s="64"/>
      <c r="G18" s="64"/>
    </row>
    <row r="19" customFormat="false" ht="19.5" hidden="false" customHeight="true" outlineLevel="0" collapsed="false">
      <c r="B19" s="63" t="s">
        <v>22</v>
      </c>
      <c r="C19" s="63"/>
      <c r="D19" s="63"/>
      <c r="E19" s="64" t="s">
        <v>68</v>
      </c>
      <c r="F19" s="64"/>
      <c r="G19" s="64"/>
    </row>
    <row r="20" customFormat="false" ht="19.5" hidden="false" customHeight="true" outlineLevel="0" collapsed="false">
      <c r="B20" s="63" t="s">
        <v>57</v>
      </c>
      <c r="C20" s="63"/>
      <c r="D20" s="63"/>
      <c r="E20" s="64" t="s">
        <v>69</v>
      </c>
      <c r="F20" s="64"/>
      <c r="G20" s="64"/>
    </row>
    <row r="21" customFormat="false" ht="19.5" hidden="false" customHeight="true" outlineLevel="0" collapsed="false">
      <c r="B21" s="63" t="s">
        <v>23</v>
      </c>
      <c r="C21" s="63"/>
      <c r="D21" s="63"/>
      <c r="E21" s="64" t="s">
        <v>70</v>
      </c>
      <c r="F21" s="64"/>
      <c r="G21" s="64"/>
    </row>
    <row r="22" customFormat="false" ht="19.5" hidden="false" customHeight="true" outlineLevel="0" collapsed="false">
      <c r="B22" s="63" t="s">
        <v>60</v>
      </c>
      <c r="C22" s="63"/>
      <c r="D22" s="63"/>
      <c r="E22" s="64" t="s">
        <v>71</v>
      </c>
      <c r="F22" s="64"/>
      <c r="G22" s="64"/>
    </row>
    <row r="23" customFormat="false" ht="19.5" hidden="false" customHeight="true" outlineLevel="0" collapsed="false">
      <c r="B23" s="63" t="s">
        <v>4</v>
      </c>
      <c r="C23" s="63"/>
      <c r="D23" s="63"/>
      <c r="E23" s="65" t="s">
        <v>72</v>
      </c>
      <c r="F23" s="65"/>
      <c r="G23" s="65"/>
    </row>
    <row r="24" customFormat="false" ht="19.5" hidden="false" customHeight="true" outlineLevel="0" collapsed="false">
      <c r="B24" s="63" t="s">
        <v>63</v>
      </c>
      <c r="C24" s="63"/>
      <c r="D24" s="63"/>
      <c r="E24" s="64" t="s">
        <v>73</v>
      </c>
      <c r="F24" s="64"/>
      <c r="G24" s="64"/>
    </row>
    <row r="25" customFormat="false" ht="19.5" hidden="false" customHeight="true" outlineLevel="0" collapsed="false">
      <c r="B25" s="63" t="s">
        <v>65</v>
      </c>
      <c r="C25" s="63"/>
      <c r="D25" s="63"/>
      <c r="E25" s="65" t="s">
        <v>74</v>
      </c>
      <c r="F25" s="65"/>
      <c r="G25" s="65"/>
    </row>
    <row r="28" customFormat="false" ht="27.75" hidden="false" customHeight="true" outlineLevel="0" collapsed="false">
      <c r="B28" s="66" t="s">
        <v>75</v>
      </c>
      <c r="C28" s="66"/>
      <c r="D28" s="66"/>
      <c r="E28" s="66"/>
      <c r="F28" s="66"/>
      <c r="G28" s="66"/>
    </row>
    <row r="29" customFormat="false" ht="19.5" hidden="false" customHeight="true" outlineLevel="0" collapsed="false">
      <c r="B29" s="67" t="s">
        <v>28</v>
      </c>
      <c r="C29" s="67"/>
      <c r="D29" s="67"/>
      <c r="E29" s="68" t="n">
        <v>100</v>
      </c>
      <c r="F29" s="68"/>
      <c r="G29" s="68"/>
    </row>
    <row r="30" customFormat="false" ht="19.5" hidden="false" customHeight="true" outlineLevel="0" collapsed="false">
      <c r="B30" s="67" t="s">
        <v>29</v>
      </c>
      <c r="C30" s="67"/>
      <c r="D30" s="67"/>
      <c r="E30" s="68" t="n">
        <v>30</v>
      </c>
      <c r="F30" s="68"/>
      <c r="G30" s="68"/>
    </row>
    <row r="31" customFormat="false" ht="19.5" hidden="false" customHeight="true" outlineLevel="0" collapsed="false">
      <c r="B31" s="67" t="s">
        <v>22</v>
      </c>
      <c r="C31" s="67"/>
      <c r="D31" s="67"/>
      <c r="E31" s="68" t="s">
        <v>76</v>
      </c>
      <c r="F31" s="68"/>
      <c r="G31" s="68"/>
    </row>
    <row r="32" customFormat="false" ht="19.5" hidden="false" customHeight="true" outlineLevel="0" collapsed="false">
      <c r="B32" s="67" t="s">
        <v>57</v>
      </c>
      <c r="C32" s="67"/>
      <c r="D32" s="67"/>
      <c r="E32" s="68" t="s">
        <v>77</v>
      </c>
      <c r="F32" s="68"/>
      <c r="G32" s="68"/>
    </row>
    <row r="33" customFormat="false" ht="19.5" hidden="false" customHeight="true" outlineLevel="0" collapsed="false">
      <c r="B33" s="67" t="s">
        <v>23</v>
      </c>
      <c r="C33" s="67"/>
      <c r="D33" s="67"/>
      <c r="E33" s="68" t="s">
        <v>78</v>
      </c>
      <c r="F33" s="68"/>
      <c r="G33" s="68"/>
    </row>
    <row r="34" customFormat="false" ht="19.5" hidden="false" customHeight="true" outlineLevel="0" collapsed="false">
      <c r="B34" s="67" t="s">
        <v>60</v>
      </c>
      <c r="C34" s="67"/>
      <c r="D34" s="67"/>
      <c r="E34" s="68" t="s">
        <v>79</v>
      </c>
      <c r="F34" s="68"/>
      <c r="G34" s="68"/>
    </row>
    <row r="35" customFormat="false" ht="19.5" hidden="false" customHeight="true" outlineLevel="0" collapsed="false">
      <c r="B35" s="67" t="s">
        <v>4</v>
      </c>
      <c r="C35" s="67"/>
      <c r="D35" s="67"/>
      <c r="E35" s="69" t="s">
        <v>80</v>
      </c>
      <c r="F35" s="69"/>
      <c r="G35" s="69"/>
    </row>
    <row r="36" customFormat="false" ht="19.5" hidden="false" customHeight="true" outlineLevel="0" collapsed="false">
      <c r="B36" s="67" t="s">
        <v>63</v>
      </c>
      <c r="C36" s="67"/>
      <c r="D36" s="67"/>
      <c r="E36" s="68" t="s">
        <v>81</v>
      </c>
      <c r="F36" s="68"/>
      <c r="G36" s="68"/>
    </row>
    <row r="37" customFormat="false" ht="19.5" hidden="false" customHeight="true" outlineLevel="0" collapsed="false">
      <c r="B37" s="67" t="s">
        <v>65</v>
      </c>
      <c r="C37" s="67"/>
      <c r="D37" s="67"/>
      <c r="E37" s="69" t="s">
        <v>82</v>
      </c>
      <c r="F37" s="69"/>
      <c r="G37" s="69"/>
    </row>
    <row r="40" customFormat="false" ht="19.5" hidden="false" customHeight="true" outlineLevel="0" collapsed="false">
      <c r="B40" s="28" t="s">
        <v>83</v>
      </c>
      <c r="C40" s="28"/>
      <c r="D40" s="28"/>
      <c r="E40" s="28"/>
      <c r="F40" s="28"/>
      <c r="G40" s="28"/>
    </row>
  </sheetData>
  <mergeCells count="59">
    <mergeCell ref="B2:G2"/>
    <mergeCell ref="B4:G4"/>
    <mergeCell ref="B5:D5"/>
    <mergeCell ref="E5:G5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B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  <mergeCell ref="B37:D37"/>
    <mergeCell ref="E37:G37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2026-03-01T23:33:17Z</dcterms:created>
  <dc:creator>openpyxl</dc:creator>
  <dc:description/>
  <dc:language>en-US</dc:language>
  <cp:lastModifiedBy/>
  <dcterms:modified xsi:type="dcterms:W3CDTF">2026-03-01T23:33:17Z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